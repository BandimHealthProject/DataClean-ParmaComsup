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DataClean-ParmaComsup\app\config\tables\ParmaComsup\Forms\ParmaComsup\"/>
    </mc:Choice>
  </mc:AlternateContent>
  <xr:revisionPtr revIDLastSave="0" documentId="13_ncr:1_{3F30CDD3-5A58-4D23-9A8F-C4DFAEC62A1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ettings" sheetId="1" r:id="rId1"/>
    <sheet name="survey" sheetId="2" r:id="rId2"/>
    <sheet name="queries" sheetId="3" r:id="rId3"/>
    <sheet name="prompt_types" sheetId="4" r:id="rId4"/>
    <sheet name="calculates" sheetId="5" r:id="rId5"/>
    <sheet name="choices" sheetId="6" r:id="rId6"/>
    <sheet name="model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6" l="1"/>
  <c r="B16" i="6"/>
  <c r="B15" i="6"/>
  <c r="B14" i="6"/>
  <c r="B13" i="6"/>
  <c r="B12" i="6"/>
  <c r="B11" i="6"/>
  <c r="B10" i="6"/>
  <c r="B9" i="6"/>
  <c r="B8" i="6"/>
  <c r="B7" i="6"/>
  <c r="B4" i="6"/>
  <c r="B3" i="6"/>
  <c r="B2" i="6"/>
</calcChain>
</file>

<file path=xl/sharedStrings.xml><?xml version="1.0" encoding="utf-8"?>
<sst xmlns="http://schemas.openxmlformats.org/spreadsheetml/2006/main" count="201" uniqueCount="114">
  <si>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</si>
  <si>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</si>
  <si>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</si>
  <si>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</si>
  <si>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</si>
  <si>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</si>
  <si>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</si>
  <si>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form_version</t>
  </si>
  <si>
    <t>table_id</t>
  </si>
  <si>
    <t>survey</t>
  </si>
  <si>
    <t>default</t>
  </si>
  <si>
    <t>Portuguese</t>
  </si>
  <si>
    <t>Portugues</t>
  </si>
  <si>
    <t>english</t>
  </si>
  <si>
    <t>English</t>
  </si>
  <si>
    <t>Inglês</t>
  </si>
  <si>
    <t>font-size</t>
  </si>
  <si>
    <t>20pt</t>
  </si>
  <si>
    <t>instance_name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</si>
  <si>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</si>
  <si>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</si>
  <si>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</si>
  <si>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</si>
  <si>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</si>
  <si>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</si>
  <si>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</si>
  <si>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</si>
  <si>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</si>
  <si>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comment</t>
  </si>
  <si>
    <t>constraint</t>
  </si>
  <si>
    <t>display.constraint_message.text.english</t>
  </si>
  <si>
    <t>display.constraint_message.text</t>
  </si>
  <si>
    <t>begin screen</t>
  </si>
  <si>
    <t>if</t>
  </si>
  <si>
    <t>end if</t>
  </si>
  <si>
    <t>select_one</t>
  </si>
  <si>
    <t>end screen</t>
  </si>
  <si>
    <t>adate</t>
  </si>
  <si>
    <t>text</t>
  </si>
  <si>
    <t>integer</t>
  </si>
  <si>
    <t>MUL</t>
  </si>
  <si>
    <t>REGIDC</t>
  </si>
  <si>
    <t>OBS</t>
  </si>
  <si>
    <t>Observations</t>
  </si>
  <si>
    <t>Observações</t>
  </si>
  <si>
    <t>query_name</t>
  </si>
  <si>
    <t>query_type</t>
  </si>
  <si>
    <t>linked_form_id</t>
  </si>
  <si>
    <t>linked_table_id</t>
  </si>
  <si>
    <t>selection</t>
  </si>
  <si>
    <t>selectionArgs</t>
  </si>
  <si>
    <t>newRowInitialElementKeyToValueMap</t>
  </si>
  <si>
    <t>openRowInitialElementKeyToValueMap</t>
  </si>
  <si>
    <t>fieldName</t>
  </si>
  <si>
    <t>prompt_type_name</t>
  </si>
  <si>
    <t>elementType</t>
  </si>
  <si>
    <t>custom_date</t>
  </si>
  <si>
    <t>string</t>
  </si>
  <si>
    <t>date</t>
  </si>
  <si>
    <t>Makes the date widget DD/MM/YYYY</t>
  </si>
  <si>
    <t>async_assign_date</t>
  </si>
  <si>
    <t>Save only mm.dd.yyyy with support for ?? at all positions</t>
  </si>
  <si>
    <t>calculation_name</t>
  </si>
  <si>
    <t>choice_list_name</t>
  </si>
  <si>
    <t>data_value</t>
  </si>
  <si>
    <t>NS</t>
  </si>
  <si>
    <t>isSessionVariable</t>
  </si>
  <si>
    <t>REG</t>
  </si>
  <si>
    <t>TAB</t>
  </si>
  <si>
    <t>MOR</t>
  </si>
  <si>
    <t>REGDIA</t>
  </si>
  <si>
    <t>NOME</t>
  </si>
  <si>
    <t>DNASC</t>
  </si>
  <si>
    <t>NOMEMAE</t>
  </si>
  <si>
    <t>REGIDMAE</t>
  </si>
  <si>
    <t>LMP_CARD</t>
  </si>
  <si>
    <t>select_one_with_other</t>
  </si>
  <si>
    <t>NOC</t>
  </si>
  <si>
    <t>DNASC:  &lt;b&gt;{{data.DNASC}}&lt;/b&gt;</t>
  </si>
  <si>
    <t>Nomemae: &lt;b&gt;{{data.NOMEMAE}}&lt;/b&gt;</t>
  </si>
  <si>
    <t xml:space="preserve">REGDIA:  &lt;b&gt;{{data.REGDIA}}&lt;/b&gt; </t>
  </si>
  <si>
    <t>REG:  &lt;b&gt;{{data.REG}}&lt;/b&gt;  TAB: &lt;b&gt;{{data.TAB}}&lt;/b&gt;,     NOC: &lt;b&gt;{{data.NOC}}&lt;/b&gt;</t>
  </si>
  <si>
    <t>Nome: &lt;b&gt;{{data.NOME}}&lt;/b&gt;</t>
  </si>
  <si>
    <t>VIFICHA</t>
  </si>
  <si>
    <t>seenform</t>
  </si>
  <si>
    <t>Vi</t>
  </si>
  <si>
    <t>Localizou pasta - sem ficha</t>
  </si>
  <si>
    <t>Nao localizou pasta</t>
  </si>
  <si>
    <t>F.I.</t>
  </si>
  <si>
    <t>I</t>
  </si>
  <si>
    <t>F.I. VC</t>
  </si>
  <si>
    <t>S.I.</t>
  </si>
  <si>
    <t>NV. na C.</t>
  </si>
  <si>
    <t>n tem na carta</t>
  </si>
  <si>
    <t>NT.C / NTC</t>
  </si>
  <si>
    <t>NV / NVC</t>
  </si>
  <si>
    <t>info</t>
  </si>
  <si>
    <t>ASSISTENTE</t>
  </si>
  <si>
    <t xml:space="preserve">integer </t>
  </si>
  <si>
    <t>ASSIST</t>
  </si>
  <si>
    <t>Codigo de assistente na data {{data.CONT}}</t>
  </si>
  <si>
    <t>"00"</t>
  </si>
  <si>
    <t>note</t>
  </si>
  <si>
    <t>" - "</t>
  </si>
  <si>
    <t>data('ASSISTENTE') == null</t>
  </si>
  <si>
    <t>data('VIFICHA') =='1'</t>
  </si>
  <si>
    <t>CONT</t>
  </si>
  <si>
    <t>Vi Ficha Gravida?</t>
  </si>
  <si>
    <t>ParmaComsup</t>
  </si>
  <si>
    <t>Qual e informacao sobre data ult mens?</t>
  </si>
  <si>
    <t>Data de visita: &lt;b&gt;{{data.CONT}}&lt;/b&gt;</t>
  </si>
  <si>
    <t>NOVIS</t>
  </si>
  <si>
    <t xml:space="preserve">Numero de visita: &lt;b&gt;{{data.NOVIS}}&lt;/b&gt; </t>
  </si>
  <si>
    <t>Qual e informacao sobre data do ult mens?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</si>
</sst>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"/>
  </numFmts>
  <fonts count="2" x14ac:knownFonts="1">
    <font>
      <sz val="11"/>
      <color theme="1"/>
      <name val="Calibri"/>
      <scheme val="minor"/>
    </font>
    <font>
      <sz val="8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7EBBC6E4-065C-4692-B6A2-1CBC2481DAF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activeCell="B9" sqref="B9"/>
    </sheetView>
  </sheetViews>
  <sheetFormatPr defaultRowHeight="14.5" x14ac:dyDescent="0.35"/>
  <cols>
    <col min="1" max="1" width="14.54296875" customWidth="1"/>
    <col min="2" max="2" width="17.453125" customWidth="1"/>
    <col min="3" max="3" width="34.26953125" customWidth="1"/>
    <col min="4" max="4" width="29.81640625" customWidth="1"/>
    <col min="5" max="5" width="17.54296875" customWidth="1"/>
    <col min="6" max="6" width="28.5429687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108</v>
      </c>
    </row>
    <row r="3" spans="1:6" x14ac:dyDescent="0.35">
      <c r="A3" t="s">
        <v>7</v>
      </c>
      <c r="B3">
        <v>20260224</v>
      </c>
    </row>
    <row r="4" spans="1:6" x14ac:dyDescent="0.35">
      <c r="A4" t="s">
        <v>8</v>
      </c>
      <c r="B4" t="s">
        <v>108</v>
      </c>
    </row>
    <row r="5" spans="1:6" x14ac:dyDescent="0.35">
      <c r="A5" t="s">
        <v>9</v>
      </c>
      <c r="C5" t="s">
        <v>108</v>
      </c>
      <c r="D5" t="s">
        <v>108</v>
      </c>
    </row>
    <row r="6" spans="1:6" x14ac:dyDescent="0.35">
      <c r="A6" t="s">
        <v>10</v>
      </c>
      <c r="E6" t="s">
        <v>11</v>
      </c>
      <c r="F6" t="s">
        <v>12</v>
      </c>
    </row>
    <row r="7" spans="1:6" x14ac:dyDescent="0.35">
      <c r="A7" t="s">
        <v>13</v>
      </c>
      <c r="E7" t="s">
        <v>14</v>
      </c>
      <c r="F7" t="s">
        <v>15</v>
      </c>
    </row>
    <row r="8" spans="1:6" x14ac:dyDescent="0.35">
      <c r="A8" t="s">
        <v>16</v>
      </c>
      <c r="B8" t="s">
        <v>17</v>
      </c>
    </row>
    <row r="9" spans="1:6" x14ac:dyDescent="0.35">
      <c r="A9" t="s">
        <v>18</v>
      </c>
      <c r="B9" t="s">
        <v>83</v>
      </c>
    </row>
  </sheetData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tabSelected="1" topLeftCell="C1" zoomScale="110" workbookViewId="0">
      <selection activeCell="H16" sqref="H16"/>
    </sheetView>
  </sheetViews>
  <sheetFormatPr defaultRowHeight="14.5" x14ac:dyDescent="0.35"/>
  <cols>
    <col min="1" max="1" width="12.453125" customWidth="1"/>
    <col min="2" max="2" width="12.26953125" customWidth="1"/>
    <col min="3" max="3" width="28.54296875" customWidth="1"/>
    <col min="4" max="4" width="23.54296875" customWidth="1"/>
    <col min="5" max="5" width="15.453125" customWidth="1"/>
    <col min="6" max="6" width="17.453125" customWidth="1"/>
    <col min="7" max="7" width="64.6328125" customWidth="1"/>
    <col min="8" max="8" width="82" customWidth="1"/>
    <col min="9" max="9" width="12.7265625" customWidth="1"/>
    <col min="10" max="10" width="21.453125" customWidth="1"/>
    <col min="11" max="11" width="46.81640625" customWidth="1"/>
    <col min="12" max="12" width="38.26953125" customWidth="1"/>
    <col min="13" max="13" width="29.7265625" customWidth="1"/>
  </cols>
  <sheetData>
    <row r="1" spans="1:13" x14ac:dyDescent="0.35">
      <c r="A1" t="s">
        <v>19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</row>
    <row r="2" spans="1:13" x14ac:dyDescent="0.35">
      <c r="B2" t="s">
        <v>32</v>
      </c>
    </row>
    <row r="3" spans="1:13" x14ac:dyDescent="0.35">
      <c r="D3" t="s">
        <v>102</v>
      </c>
      <c r="G3" t="s">
        <v>81</v>
      </c>
      <c r="H3" t="s">
        <v>81</v>
      </c>
    </row>
    <row r="4" spans="1:13" x14ac:dyDescent="0.35">
      <c r="D4" t="s">
        <v>102</v>
      </c>
      <c r="G4" t="s">
        <v>80</v>
      </c>
      <c r="H4" t="s">
        <v>80</v>
      </c>
    </row>
    <row r="5" spans="1:13" x14ac:dyDescent="0.35">
      <c r="D5" t="s">
        <v>102</v>
      </c>
      <c r="G5" t="s">
        <v>79</v>
      </c>
      <c r="H5" t="s">
        <v>79</v>
      </c>
    </row>
    <row r="6" spans="1:13" x14ac:dyDescent="0.35">
      <c r="D6" t="s">
        <v>102</v>
      </c>
      <c r="G6" t="s">
        <v>78</v>
      </c>
      <c r="H6" t="s">
        <v>78</v>
      </c>
    </row>
    <row r="7" spans="1:13" x14ac:dyDescent="0.35">
      <c r="D7" t="s">
        <v>102</v>
      </c>
      <c r="G7" t="s">
        <v>82</v>
      </c>
      <c r="H7" t="s">
        <v>82</v>
      </c>
    </row>
    <row r="8" spans="1:13" x14ac:dyDescent="0.35">
      <c r="D8" t="s">
        <v>102</v>
      </c>
      <c r="G8" t="s">
        <v>107</v>
      </c>
      <c r="H8" t="s">
        <v>107</v>
      </c>
    </row>
    <row r="9" spans="1:13" x14ac:dyDescent="0.35">
      <c r="D9" t="s">
        <v>35</v>
      </c>
      <c r="E9" t="s">
        <v>84</v>
      </c>
      <c r="F9" t="s">
        <v>83</v>
      </c>
    </row>
    <row r="10" spans="1:13" x14ac:dyDescent="0.35">
      <c r="B10" t="s">
        <v>36</v>
      </c>
    </row>
    <row r="11" spans="1:13" x14ac:dyDescent="0.35">
      <c r="B11" t="s">
        <v>33</v>
      </c>
      <c r="C11" t="s">
        <v>105</v>
      </c>
    </row>
    <row r="12" spans="1:13" x14ac:dyDescent="0.35">
      <c r="B12" t="s">
        <v>32</v>
      </c>
    </row>
    <row r="13" spans="1:13" x14ac:dyDescent="0.35">
      <c r="D13" t="s">
        <v>102</v>
      </c>
      <c r="G13" t="s">
        <v>110</v>
      </c>
      <c r="H13" t="s">
        <v>110</v>
      </c>
    </row>
    <row r="14" spans="1:13" x14ac:dyDescent="0.35">
      <c r="D14" t="s">
        <v>102</v>
      </c>
      <c r="G14" t="s">
        <v>112</v>
      </c>
      <c r="H14" t="s">
        <v>112</v>
      </c>
    </row>
    <row r="15" spans="1:13" x14ac:dyDescent="0.35">
      <c r="D15" t="s">
        <v>76</v>
      </c>
      <c r="E15" t="s">
        <v>96</v>
      </c>
      <c r="F15" t="s">
        <v>75</v>
      </c>
      <c r="G15" t="s">
        <v>109</v>
      </c>
      <c r="H15" t="s">
        <v>113</v>
      </c>
    </row>
    <row r="16" spans="1:13" x14ac:dyDescent="0.35">
      <c r="B16" t="s">
        <v>36</v>
      </c>
    </row>
    <row r="17" spans="2:8" x14ac:dyDescent="0.35">
      <c r="B17" t="s">
        <v>33</v>
      </c>
      <c r="C17" t="s">
        <v>104</v>
      </c>
    </row>
    <row r="18" spans="2:8" x14ac:dyDescent="0.35">
      <c r="B18" t="s">
        <v>32</v>
      </c>
    </row>
    <row r="19" spans="2:8" x14ac:dyDescent="0.35">
      <c r="D19" t="s">
        <v>98</v>
      </c>
      <c r="F19" t="s">
        <v>99</v>
      </c>
      <c r="G19" t="s">
        <v>100</v>
      </c>
      <c r="H19" t="s">
        <v>100</v>
      </c>
    </row>
    <row r="21" spans="2:8" x14ac:dyDescent="0.35">
      <c r="B21" t="s">
        <v>36</v>
      </c>
    </row>
    <row r="22" spans="2:8" x14ac:dyDescent="0.35">
      <c r="B22" t="s">
        <v>34</v>
      </c>
    </row>
    <row r="23" spans="2:8" x14ac:dyDescent="0.35">
      <c r="B23" t="s">
        <v>34</v>
      </c>
    </row>
    <row r="24" spans="2:8" x14ac:dyDescent="0.35">
      <c r="B24" t="s">
        <v>32</v>
      </c>
    </row>
    <row r="25" spans="2:8" x14ac:dyDescent="0.35">
      <c r="D25" t="s">
        <v>38</v>
      </c>
      <c r="F25" t="s">
        <v>42</v>
      </c>
      <c r="G25" t="s">
        <v>43</v>
      </c>
      <c r="H25" t="s">
        <v>44</v>
      </c>
    </row>
    <row r="26" spans="2:8" x14ac:dyDescent="0.35">
      <c r="B26" t="s">
        <v>36</v>
      </c>
    </row>
  </sheetData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"/>
  <sheetViews>
    <sheetView workbookViewId="0">
      <selection activeCell="D26" sqref="D26"/>
    </sheetView>
  </sheetViews>
  <sheetFormatPr defaultRowHeight="14.5" x14ac:dyDescent="0.35"/>
  <cols>
    <col min="1" max="1" width="15.453125" customWidth="1"/>
    <col min="2" max="2" width="12.1796875" customWidth="1"/>
    <col min="3" max="3" width="18.1796875" customWidth="1"/>
    <col min="5" max="5" width="10.26953125" customWidth="1"/>
    <col min="6" max="6" width="15.1796875" customWidth="1"/>
    <col min="7" max="7" width="101.81640625" customWidth="1"/>
    <col min="8" max="8" width="37.453125" customWidth="1"/>
    <col min="9" max="9" width="12" customWidth="1"/>
  </cols>
  <sheetData>
    <row r="1" spans="1:9" x14ac:dyDescent="0.35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</row>
  </sheetData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>
      <selection activeCell="A6" sqref="A6"/>
    </sheetView>
  </sheetViews>
  <sheetFormatPr defaultRowHeight="14.5" x14ac:dyDescent="0.35"/>
  <cols>
    <col min="1" max="1" width="23.54296875" customWidth="1"/>
    <col min="2" max="2" width="7.453125" customWidth="1"/>
    <col min="3" max="3" width="12.81640625" customWidth="1"/>
    <col min="4" max="4" width="34.1796875" customWidth="1"/>
  </cols>
  <sheetData>
    <row r="1" spans="1:4" x14ac:dyDescent="0.35">
      <c r="A1" t="s">
        <v>54</v>
      </c>
      <c r="B1" t="s">
        <v>22</v>
      </c>
      <c r="C1" t="s">
        <v>55</v>
      </c>
      <c r="D1" t="s">
        <v>28</v>
      </c>
    </row>
    <row r="2" spans="1:4" x14ac:dyDescent="0.35">
      <c r="A2" t="s">
        <v>56</v>
      </c>
      <c r="B2" t="s">
        <v>57</v>
      </c>
      <c r="C2" t="s">
        <v>58</v>
      </c>
      <c r="D2" t="s">
        <v>59</v>
      </c>
    </row>
    <row r="3" spans="1:4" x14ac:dyDescent="0.35">
      <c r="A3" t="s">
        <v>60</v>
      </c>
      <c r="B3" t="s">
        <v>58</v>
      </c>
    </row>
    <row r="4" spans="1:4" x14ac:dyDescent="0.35">
      <c r="A4" t="s">
        <v>37</v>
      </c>
      <c r="B4" t="s">
        <v>57</v>
      </c>
      <c r="C4" t="s">
        <v>57</v>
      </c>
      <c r="D4" t="s">
        <v>61</v>
      </c>
    </row>
  </sheetData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"/>
  <sheetViews>
    <sheetView workbookViewId="0">
      <selection activeCell="A34" sqref="A34"/>
    </sheetView>
  </sheetViews>
  <sheetFormatPr defaultRowHeight="14.5" x14ac:dyDescent="0.35"/>
  <cols>
    <col min="1" max="1" width="54.26953125" customWidth="1"/>
    <col min="2" max="2" width="72.81640625" customWidth="1"/>
  </cols>
  <sheetData>
    <row r="1" spans="1:2" x14ac:dyDescent="0.35">
      <c r="A1" t="s">
        <v>62</v>
      </c>
      <c r="B1" t="s">
        <v>27</v>
      </c>
    </row>
  </sheetData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7"/>
  <sheetViews>
    <sheetView workbookViewId="0">
      <selection activeCell="D17" sqref="A2:D17"/>
    </sheetView>
  </sheetViews>
  <sheetFormatPr defaultRowHeight="14.5" x14ac:dyDescent="0.35"/>
  <cols>
    <col min="1" max="1" width="16.54296875" customWidth="1"/>
    <col min="2" max="2" width="13.81640625" customWidth="1"/>
    <col min="3" max="3" width="31.453125" customWidth="1"/>
    <col min="4" max="4" width="43" customWidth="1"/>
  </cols>
  <sheetData>
    <row r="1" spans="1:4" x14ac:dyDescent="0.35">
      <c r="A1" t="s">
        <v>63</v>
      </c>
      <c r="B1" t="s">
        <v>64</v>
      </c>
      <c r="C1" t="s">
        <v>2</v>
      </c>
      <c r="D1" t="s">
        <v>3</v>
      </c>
    </row>
    <row r="2" spans="1:4" x14ac:dyDescent="0.35">
      <c r="A2" t="s">
        <v>84</v>
      </c>
      <c r="B2" t="str">
        <f>"1"</f>
        <v>1</v>
      </c>
      <c r="C2" t="s">
        <v>85</v>
      </c>
      <c r="D2" t="s">
        <v>85</v>
      </c>
    </row>
    <row r="3" spans="1:4" x14ac:dyDescent="0.35">
      <c r="A3" t="s">
        <v>84</v>
      </c>
      <c r="B3" t="str">
        <f>"2"</f>
        <v>2</v>
      </c>
      <c r="C3" t="s">
        <v>86</v>
      </c>
      <c r="D3" t="s">
        <v>86</v>
      </c>
    </row>
    <row r="4" spans="1:4" x14ac:dyDescent="0.35">
      <c r="A4" t="s">
        <v>84</v>
      </c>
      <c r="B4" t="str">
        <f>"3"</f>
        <v>3</v>
      </c>
      <c r="C4" t="s">
        <v>87</v>
      </c>
      <c r="D4" t="s">
        <v>87</v>
      </c>
    </row>
    <row r="7" spans="1:4" x14ac:dyDescent="0.35">
      <c r="A7" t="s">
        <v>96</v>
      </c>
      <c r="B7" t="str">
        <f>"1"</f>
        <v>1</v>
      </c>
      <c r="C7" s="1" t="s">
        <v>88</v>
      </c>
      <c r="D7" s="1" t="s">
        <v>88</v>
      </c>
    </row>
    <row r="8" spans="1:4" x14ac:dyDescent="0.35">
      <c r="A8" t="s">
        <v>96</v>
      </c>
      <c r="B8" t="str">
        <f>"2"</f>
        <v>2</v>
      </c>
      <c r="C8" s="1" t="s">
        <v>95</v>
      </c>
      <c r="D8" s="1" t="s">
        <v>95</v>
      </c>
    </row>
    <row r="9" spans="1:4" x14ac:dyDescent="0.35">
      <c r="A9" t="s">
        <v>96</v>
      </c>
      <c r="B9" t="str">
        <f>"3"</f>
        <v>3</v>
      </c>
      <c r="C9" s="1" t="s">
        <v>103</v>
      </c>
      <c r="D9" s="1" t="s">
        <v>103</v>
      </c>
    </row>
    <row r="10" spans="1:4" x14ac:dyDescent="0.35">
      <c r="A10" t="s">
        <v>96</v>
      </c>
      <c r="B10" t="str">
        <f>"4"</f>
        <v>4</v>
      </c>
      <c r="C10" s="1" t="s">
        <v>89</v>
      </c>
      <c r="D10" s="1" t="s">
        <v>89</v>
      </c>
    </row>
    <row r="11" spans="1:4" x14ac:dyDescent="0.35">
      <c r="A11" t="s">
        <v>96</v>
      </c>
      <c r="B11" t="str">
        <f>"5"</f>
        <v>5</v>
      </c>
      <c r="C11" s="1" t="s">
        <v>65</v>
      </c>
      <c r="D11" s="1" t="s">
        <v>65</v>
      </c>
    </row>
    <row r="12" spans="1:4" x14ac:dyDescent="0.35">
      <c r="A12" t="s">
        <v>96</v>
      </c>
      <c r="B12" t="str">
        <f>"6"</f>
        <v>6</v>
      </c>
      <c r="C12" s="1" t="s">
        <v>90</v>
      </c>
      <c r="D12" s="1" t="s">
        <v>90</v>
      </c>
    </row>
    <row r="13" spans="1:4" x14ac:dyDescent="0.35">
      <c r="A13" t="s">
        <v>96</v>
      </c>
      <c r="B13" t="str">
        <f>"7"</f>
        <v>7</v>
      </c>
      <c r="C13" s="1" t="s">
        <v>94</v>
      </c>
      <c r="D13" s="1" t="s">
        <v>94</v>
      </c>
    </row>
    <row r="14" spans="1:4" x14ac:dyDescent="0.35">
      <c r="A14" t="s">
        <v>96</v>
      </c>
      <c r="B14" t="str">
        <f>"8"</f>
        <v>8</v>
      </c>
      <c r="C14" s="1" t="s">
        <v>91</v>
      </c>
      <c r="D14" s="1" t="s">
        <v>91</v>
      </c>
    </row>
    <row r="15" spans="1:4" x14ac:dyDescent="0.35">
      <c r="A15" t="s">
        <v>96</v>
      </c>
      <c r="B15" t="str">
        <f>"9"</f>
        <v>9</v>
      </c>
      <c r="C15" s="1" t="s">
        <v>92</v>
      </c>
      <c r="D15" s="1" t="s">
        <v>92</v>
      </c>
    </row>
    <row r="16" spans="1:4" x14ac:dyDescent="0.35">
      <c r="A16" t="s">
        <v>96</v>
      </c>
      <c r="B16" t="str">
        <f>"10"</f>
        <v>10</v>
      </c>
      <c r="C16" s="2" t="s">
        <v>101</v>
      </c>
      <c r="D16" s="2" t="s">
        <v>101</v>
      </c>
    </row>
    <row r="17" spans="1:4" x14ac:dyDescent="0.35">
      <c r="A17" t="s">
        <v>96</v>
      </c>
      <c r="B17" t="str">
        <f>"11"</f>
        <v>11</v>
      </c>
      <c r="C17" s="2" t="s">
        <v>93</v>
      </c>
      <c r="D17" s="2" t="s">
        <v>93</v>
      </c>
    </row>
  </sheetData>
  <phoneticPr fontId="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9"/>
  <sheetViews>
    <sheetView workbookViewId="0">
      <selection activeCell="C20" sqref="C20"/>
    </sheetView>
  </sheetViews>
  <sheetFormatPr defaultRowHeight="14.5" x14ac:dyDescent="0.35"/>
  <cols>
    <col min="1" max="1" width="17.453125" customWidth="1"/>
    <col min="2" max="2" width="23.54296875" customWidth="1"/>
    <col min="3" max="3" width="16.7265625" customWidth="1"/>
  </cols>
  <sheetData>
    <row r="1" spans="1:3" x14ac:dyDescent="0.35">
      <c r="A1" t="s">
        <v>24</v>
      </c>
      <c r="B1" t="s">
        <v>22</v>
      </c>
      <c r="C1" t="s">
        <v>66</v>
      </c>
    </row>
    <row r="2" spans="1:3" x14ac:dyDescent="0.35">
      <c r="A2" t="s">
        <v>67</v>
      </c>
      <c r="B2" t="s">
        <v>39</v>
      </c>
      <c r="C2" t="b">
        <v>0</v>
      </c>
    </row>
    <row r="3" spans="1:3" x14ac:dyDescent="0.35">
      <c r="A3" t="s">
        <v>68</v>
      </c>
      <c r="B3" t="s">
        <v>38</v>
      </c>
      <c r="C3" t="b">
        <v>0</v>
      </c>
    </row>
    <row r="4" spans="1:3" x14ac:dyDescent="0.35">
      <c r="A4" t="s">
        <v>77</v>
      </c>
      <c r="B4" t="s">
        <v>39</v>
      </c>
      <c r="C4" t="b">
        <v>0</v>
      </c>
    </row>
    <row r="5" spans="1:3" x14ac:dyDescent="0.35">
      <c r="A5" t="s">
        <v>69</v>
      </c>
      <c r="B5" t="s">
        <v>39</v>
      </c>
      <c r="C5" t="b">
        <v>0</v>
      </c>
    </row>
    <row r="6" spans="1:3" x14ac:dyDescent="0.35">
      <c r="A6" t="s">
        <v>40</v>
      </c>
      <c r="B6" t="s">
        <v>39</v>
      </c>
      <c r="C6" t="b">
        <v>0</v>
      </c>
    </row>
    <row r="7" spans="1:3" x14ac:dyDescent="0.35">
      <c r="A7" t="s">
        <v>70</v>
      </c>
      <c r="B7" t="s">
        <v>37</v>
      </c>
      <c r="C7" t="b">
        <v>0</v>
      </c>
    </row>
    <row r="8" spans="1:3" x14ac:dyDescent="0.35">
      <c r="A8" t="s">
        <v>73</v>
      </c>
      <c r="B8" t="s">
        <v>38</v>
      </c>
      <c r="C8" t="b">
        <v>0</v>
      </c>
    </row>
    <row r="9" spans="1:3" x14ac:dyDescent="0.35">
      <c r="A9" t="s">
        <v>106</v>
      </c>
      <c r="B9" t="s">
        <v>37</v>
      </c>
      <c r="C9" t="b">
        <v>0</v>
      </c>
    </row>
    <row r="10" spans="1:3" x14ac:dyDescent="0.35">
      <c r="A10" t="s">
        <v>75</v>
      </c>
      <c r="B10" t="s">
        <v>38</v>
      </c>
      <c r="C10" t="b">
        <v>0</v>
      </c>
    </row>
    <row r="11" spans="1:3" x14ac:dyDescent="0.35">
      <c r="A11" t="s">
        <v>71</v>
      </c>
      <c r="B11" t="s">
        <v>38</v>
      </c>
      <c r="C11" t="b">
        <v>0</v>
      </c>
    </row>
    <row r="12" spans="1:3" x14ac:dyDescent="0.35">
      <c r="A12" t="s">
        <v>72</v>
      </c>
      <c r="B12" t="s">
        <v>37</v>
      </c>
      <c r="C12" t="b">
        <v>0</v>
      </c>
    </row>
    <row r="13" spans="1:3" x14ac:dyDescent="0.35">
      <c r="A13" t="s">
        <v>74</v>
      </c>
      <c r="B13" t="s">
        <v>38</v>
      </c>
      <c r="C13" t="b">
        <v>0</v>
      </c>
    </row>
    <row r="14" spans="1:3" x14ac:dyDescent="0.35">
      <c r="A14" t="s">
        <v>41</v>
      </c>
      <c r="B14" t="s">
        <v>38</v>
      </c>
      <c r="C14" t="b">
        <v>0</v>
      </c>
    </row>
    <row r="15" spans="1:3" x14ac:dyDescent="0.35">
      <c r="A15" t="s">
        <v>42</v>
      </c>
      <c r="B15" t="s">
        <v>38</v>
      </c>
      <c r="C15" t="b">
        <v>0</v>
      </c>
    </row>
    <row r="16" spans="1:3" x14ac:dyDescent="0.35">
      <c r="A16" t="s">
        <v>83</v>
      </c>
      <c r="B16" t="s">
        <v>38</v>
      </c>
      <c r="C16" t="b">
        <v>0</v>
      </c>
    </row>
    <row r="17" spans="1:3" x14ac:dyDescent="0.35">
      <c r="A17" t="s">
        <v>97</v>
      </c>
      <c r="B17" t="s">
        <v>38</v>
      </c>
      <c r="C17" t="b">
        <v>0</v>
      </c>
    </row>
    <row r="18" spans="1:3" x14ac:dyDescent="0.35">
      <c r="A18" t="s">
        <v>99</v>
      </c>
      <c r="B18" t="s">
        <v>39</v>
      </c>
      <c r="C18" t="b">
        <v>0</v>
      </c>
    </row>
    <row r="19" spans="1:3" x14ac:dyDescent="0.35">
      <c r="A19" t="s">
        <v>111</v>
      </c>
      <c r="B19" t="s">
        <v>39</v>
      </c>
      <c r="C19" t="b">
        <v>0</v>
      </c>
    </row>
  </sheetData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survey</vt:lpstr>
      <vt:lpstr>queries</vt:lpstr>
      <vt:lpstr>prompt_types</vt:lpstr>
      <vt:lpstr>calculates</vt:lpstr>
      <vt:lpstr>choices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Ane Fisker</cp:lastModifiedBy>
  <cp:revision>2</cp:revision>
  <dcterms:created xsi:type="dcterms:W3CDTF">2026-01-12T11:23:18Z</dcterms:created>
  <dcterms:modified xsi:type="dcterms:W3CDTF">2026-02-26T08:27:13Z</dcterms:modified>
</cp:coreProperties>
</file>